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iket\Desktop\MainCraft Technology\Task2\"/>
    </mc:Choice>
  </mc:AlternateContent>
  <xr:revisionPtr revIDLastSave="0" documentId="13_ncr:1_{07F4B770-F6BF-4C8D-B97C-B9A2E9101A5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2" sheetId="3" r:id="rId1"/>
    <sheet name="Orders" sheetId="1" r:id="rId2"/>
    <sheet name="Customers" sheetId="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C16" i="1"/>
  <c r="B16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<sst xmlns="http://schemas.openxmlformats.org/spreadsheetml/2006/main" count="45" uniqueCount="36">
  <si>
    <t>order_id</t>
  </si>
  <si>
    <t>customer_id</t>
  </si>
  <si>
    <t>amount</t>
  </si>
  <si>
    <t>order_date</t>
  </si>
  <si>
    <t>status</t>
  </si>
  <si>
    <t>customer_name</t>
  </si>
  <si>
    <t>email</t>
  </si>
  <si>
    <t>city</t>
  </si>
  <si>
    <t>signup_date</t>
  </si>
  <si>
    <t>Amit Sharma</t>
  </si>
  <si>
    <t>amit@gmail.com</t>
  </si>
  <si>
    <t>Delhi</t>
  </si>
  <si>
    <t>Priya Singh</t>
  </si>
  <si>
    <t>priya@gmail.com</t>
  </si>
  <si>
    <t>Mumbai</t>
  </si>
  <si>
    <t>Rahul Verma</t>
  </si>
  <si>
    <t>rahul@gmail.com</t>
  </si>
  <si>
    <t>Bangalore</t>
  </si>
  <si>
    <t>Neha Kapoor</t>
  </si>
  <si>
    <t>neha@gmail.com</t>
  </si>
  <si>
    <t>Arjun Mehta</t>
  </si>
  <si>
    <t>arjun@gmail.com</t>
  </si>
  <si>
    <t>Pune</t>
  </si>
  <si>
    <t>Sneha Iyer</t>
  </si>
  <si>
    <t>sneha@gmail.com</t>
  </si>
  <si>
    <t>Chennai</t>
  </si>
  <si>
    <t>Completed</t>
  </si>
  <si>
    <t>Pending</t>
  </si>
  <si>
    <t>Cancelled</t>
  </si>
  <si>
    <t>Sum of order_id</t>
  </si>
  <si>
    <t>Row Labels</t>
  </si>
  <si>
    <t>Grand Total</t>
  </si>
  <si>
    <t>Month</t>
  </si>
  <si>
    <t>Total Revenue</t>
  </si>
  <si>
    <t>Total Orders</t>
  </si>
  <si>
    <t>Completed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</si>
</sst>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1" fillId="0" borderId="0" xfId="0" applyFon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File.xlsx]Sheet2!PivotTable1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Day</a:t>
            </a:r>
            <a:r>
              <a:rPr lang="en-IN" baseline="0"/>
              <a:t> wise Orders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01-04-2023</c:v>
                </c:pt>
                <c:pt idx="1">
                  <c:v>03-04-2023</c:v>
                </c:pt>
                <c:pt idx="2">
                  <c:v>05-04-2023</c:v>
                </c:pt>
                <c:pt idx="3">
                  <c:v>06-04-2023</c:v>
                </c:pt>
                <c:pt idx="4">
                  <c:v>10-04-2023</c:v>
                </c:pt>
                <c:pt idx="5">
                  <c:v>12-04-2023</c:v>
                </c:pt>
                <c:pt idx="6">
                  <c:v>15-04-2023</c:v>
                </c:pt>
                <c:pt idx="7">
                  <c:v>18-04-2023</c:v>
                </c:pt>
                <c:pt idx="8">
                  <c:v>20-04-2023</c:v>
                </c:pt>
                <c:pt idx="9">
                  <c:v>25-04-2023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101</c:v>
                </c:pt>
                <c:pt idx="1">
                  <c:v>103</c:v>
                </c:pt>
                <c:pt idx="2">
                  <c:v>102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2-47F1-BB31-F50AED0DB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083855"/>
        <c:axId val="962101615"/>
      </c:barChart>
      <c:catAx>
        <c:axId val="96208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01615"/>
        <c:crosses val="autoZero"/>
        <c:auto val="1"/>
        <c:lblAlgn val="ctr"/>
        <c:lblOffset val="100"/>
        <c:noMultiLvlLbl val="0"/>
      </c:catAx>
      <c:valAx>
        <c:axId val="9621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8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7</xdr:row>
      <xdr:rowOff>3810</xdr:rowOff>
    </xdr:from>
    <xdr:to>
      <xdr:col>10</xdr:col>
      <xdr:colOff>327660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FAE85-441F-EE7E-4B22-E3D3E9ADB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et" refreshedDate="46112.773790624997" createdVersion="8" refreshedVersion="8" minRefreshableVersion="3" recordCount="10" xr:uid="{98FCFA11-BB1F-47BD-9598-A74D6BE8B817}">
  <cacheSource type="worksheet">
    <worksheetSource ref="A1:E11" sheet="Orders"/>
  </cacheSource>
  <cacheFields count="5">
    <cacheField name="order_id" numFmtId="0">
      <sharedItems containsSemiMixedTypes="0" containsString="0" containsNumber="1" containsInteger="1" minValue="101" maxValue="110"/>
    </cacheField>
    <cacheField name="customer_id" numFmtId="0">
      <sharedItems containsSemiMixedTypes="0" containsString="0" containsNumber="1" containsInteger="1" minValue="1" maxValue="6"/>
    </cacheField>
    <cacheField name="order_date" numFmtId="14">
      <sharedItems containsSemiMixedTypes="0" containsNonDate="0" containsDate="1" containsString="0" minDate="2023-04-01T00:00:00" maxDate="2023-04-26T00:00:00" count="10">
        <d v="2023-04-01T00:00:00"/>
        <d v="2023-04-05T00:00:00"/>
        <d v="2023-04-03T00:00:00"/>
        <d v="2023-04-06T00:00:00"/>
        <d v="2023-04-10T00:00:00"/>
        <d v="2023-04-12T00:00:00"/>
        <d v="2023-04-15T00:00:00"/>
        <d v="2023-04-18T00:00:00"/>
        <d v="2023-04-20T00:00:00"/>
        <d v="2023-04-25T00:00:00"/>
      </sharedItems>
    </cacheField>
    <cacheField name="amount" numFmtId="0">
      <sharedItems containsSemiMixedTypes="0" containsString="0" containsNumber="1" containsInteger="1" minValue="1500" maxValue="90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n v="1"/>
    <x v="0"/>
    <n v="5000"/>
    <s v="Completed"/>
  </r>
  <r>
    <n v="102"/>
    <n v="1"/>
    <x v="1"/>
    <n v="3000"/>
    <s v="Completed"/>
  </r>
  <r>
    <n v="103"/>
    <n v="2"/>
    <x v="2"/>
    <n v="7000"/>
    <s v="Pending"/>
  </r>
  <r>
    <n v="104"/>
    <n v="3"/>
    <x v="3"/>
    <n v="2000"/>
    <s v="Completed"/>
  </r>
  <r>
    <n v="105"/>
    <n v="4"/>
    <x v="4"/>
    <n v="9000"/>
    <s v="Completed"/>
  </r>
  <r>
    <n v="106"/>
    <n v="2"/>
    <x v="5"/>
    <n v="4000"/>
    <s v="Completed"/>
  </r>
  <r>
    <n v="107"/>
    <n v="5"/>
    <x v="6"/>
    <n v="3500"/>
    <s v="Cancelled"/>
  </r>
  <r>
    <n v="108"/>
    <n v="6"/>
    <x v="7"/>
    <n v="6000"/>
    <s v="Completed"/>
  </r>
  <r>
    <n v="109"/>
    <n v="3"/>
    <x v="8"/>
    <n v="1500"/>
    <s v="Pending"/>
  </r>
  <r>
    <n v="110"/>
    <n v="1"/>
    <x v="9"/>
    <n v="2500"/>
    <s v="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C25EE-8B34-4180-A574-034E835B6FF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5">
    <pivotField dataField="1" showAll="0"/>
    <pivotField showAll="0"/>
    <pivotField axis="axisRow" numFmtId="14" showAll="0">
      <items count="11">
        <item x="0"/>
        <item x="2"/>
        <item x="1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order_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69C3-B528-4320-BE08-3DC160D9135D}">
  <dimension ref="A3:B14"/>
  <sheetViews>
    <sheetView workbookViewId="0">
      <selection activeCell="L8" sqref="L8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3" width="18.109375" bestFit="1" customWidth="1"/>
  </cols>
  <sheetData>
    <row r="3" spans="1:2" x14ac:dyDescent="0.3">
      <c r="A3" s="5" t="s">
        <v>30</v>
      </c>
      <c r="B3" t="s">
        <v>29</v>
      </c>
    </row>
    <row r="4" spans="1:2" x14ac:dyDescent="0.3">
      <c r="A4" s="6">
        <v>45017</v>
      </c>
      <c r="B4" s="4">
        <v>101</v>
      </c>
    </row>
    <row r="5" spans="1:2" x14ac:dyDescent="0.3">
      <c r="A5" s="6">
        <v>45019</v>
      </c>
      <c r="B5" s="4">
        <v>103</v>
      </c>
    </row>
    <row r="6" spans="1:2" x14ac:dyDescent="0.3">
      <c r="A6" s="6">
        <v>45021</v>
      </c>
      <c r="B6" s="4">
        <v>102</v>
      </c>
    </row>
    <row r="7" spans="1:2" x14ac:dyDescent="0.3">
      <c r="A7" s="6">
        <v>45022</v>
      </c>
      <c r="B7" s="4">
        <v>104</v>
      </c>
    </row>
    <row r="8" spans="1:2" x14ac:dyDescent="0.3">
      <c r="A8" s="6">
        <v>45026</v>
      </c>
      <c r="B8" s="4">
        <v>105</v>
      </c>
    </row>
    <row r="9" spans="1:2" x14ac:dyDescent="0.3">
      <c r="A9" s="6">
        <v>45028</v>
      </c>
      <c r="B9" s="4">
        <v>106</v>
      </c>
    </row>
    <row r="10" spans="1:2" x14ac:dyDescent="0.3">
      <c r="A10" s="6">
        <v>45031</v>
      </c>
      <c r="B10" s="4">
        <v>107</v>
      </c>
    </row>
    <row r="11" spans="1:2" x14ac:dyDescent="0.3">
      <c r="A11" s="6">
        <v>45034</v>
      </c>
      <c r="B11" s="4">
        <v>108</v>
      </c>
    </row>
    <row r="12" spans="1:2" x14ac:dyDescent="0.3">
      <c r="A12" s="6">
        <v>45036</v>
      </c>
      <c r="B12" s="4">
        <v>109</v>
      </c>
    </row>
    <row r="13" spans="1:2" x14ac:dyDescent="0.3">
      <c r="A13" s="6">
        <v>45041</v>
      </c>
      <c r="B13" s="4">
        <v>110</v>
      </c>
    </row>
    <row r="14" spans="1:2" x14ac:dyDescent="0.3">
      <c r="A14" s="6" t="s">
        <v>31</v>
      </c>
      <c r="B14" s="4">
        <v>1055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F23" sqref="F23"/>
    </sheetView>
  </sheetViews>
  <sheetFormatPr defaultRowHeight="14.4" x14ac:dyDescent="0.3"/>
  <cols>
    <col min="1" max="1" width="7.88671875" bestFit="1" customWidth="1"/>
    <col min="2" max="2" width="12.77734375" customWidth="1"/>
    <col min="3" max="3" width="12.109375" bestFit="1" customWidth="1"/>
    <col min="4" max="4" width="7.33203125" bestFit="1" customWidth="1"/>
    <col min="5" max="5" width="13.5546875" customWidth="1"/>
  </cols>
  <sheetData>
    <row r="1" spans="1:6" x14ac:dyDescent="0.3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32</v>
      </c>
    </row>
    <row r="2" spans="1:6" x14ac:dyDescent="0.3">
      <c r="A2">
        <v>101</v>
      </c>
      <c r="B2">
        <v>1</v>
      </c>
      <c r="C2" s="2">
        <v>45017</v>
      </c>
      <c r="D2">
        <v>5000</v>
      </c>
      <c r="E2" t="s">
        <v>26</v>
      </c>
      <c r="F2" t="str">
        <f>TEXT(C2,"mmm")</f>
        <v>Apr</v>
      </c>
    </row>
    <row r="3" spans="1:6" x14ac:dyDescent="0.3">
      <c r="A3">
        <v>102</v>
      </c>
      <c r="B3">
        <v>1</v>
      </c>
      <c r="C3" s="2">
        <v>45021</v>
      </c>
      <c r="D3">
        <v>3000</v>
      </c>
      <c r="E3" t="s">
        <v>26</v>
      </c>
      <c r="F3" t="str">
        <f t="shared" ref="F3:F11" si="0">TEXT(C3,"mmm")</f>
        <v>Apr</v>
      </c>
    </row>
    <row r="4" spans="1:6" x14ac:dyDescent="0.3">
      <c r="A4">
        <v>103</v>
      </c>
      <c r="B4">
        <v>2</v>
      </c>
      <c r="C4" s="2">
        <v>45019</v>
      </c>
      <c r="D4">
        <v>7000</v>
      </c>
      <c r="E4" t="s">
        <v>27</v>
      </c>
      <c r="F4" t="str">
        <f t="shared" si="0"/>
        <v>Apr</v>
      </c>
    </row>
    <row r="5" spans="1:6" x14ac:dyDescent="0.3">
      <c r="A5">
        <v>104</v>
      </c>
      <c r="B5">
        <v>3</v>
      </c>
      <c r="C5" s="2">
        <v>45022</v>
      </c>
      <c r="D5">
        <v>2000</v>
      </c>
      <c r="E5" t="s">
        <v>26</v>
      </c>
      <c r="F5" t="str">
        <f t="shared" si="0"/>
        <v>Apr</v>
      </c>
    </row>
    <row r="6" spans="1:6" x14ac:dyDescent="0.3">
      <c r="A6">
        <v>105</v>
      </c>
      <c r="B6">
        <v>4</v>
      </c>
      <c r="C6" s="1">
        <v>45026</v>
      </c>
      <c r="D6">
        <v>9000</v>
      </c>
      <c r="E6" t="s">
        <v>26</v>
      </c>
      <c r="F6" t="str">
        <f t="shared" si="0"/>
        <v>Apr</v>
      </c>
    </row>
    <row r="7" spans="1:6" x14ac:dyDescent="0.3">
      <c r="A7">
        <v>106</v>
      </c>
      <c r="B7">
        <v>2</v>
      </c>
      <c r="C7" s="1">
        <v>45028</v>
      </c>
      <c r="D7">
        <v>4000</v>
      </c>
      <c r="E7" t="s">
        <v>26</v>
      </c>
      <c r="F7" t="str">
        <f t="shared" si="0"/>
        <v>Apr</v>
      </c>
    </row>
    <row r="8" spans="1:6" x14ac:dyDescent="0.3">
      <c r="A8">
        <v>107</v>
      </c>
      <c r="B8">
        <v>5</v>
      </c>
      <c r="C8" s="1">
        <v>45031</v>
      </c>
      <c r="D8">
        <v>3500</v>
      </c>
      <c r="E8" t="s">
        <v>28</v>
      </c>
      <c r="F8" t="str">
        <f t="shared" si="0"/>
        <v>Apr</v>
      </c>
    </row>
    <row r="9" spans="1:6" x14ac:dyDescent="0.3">
      <c r="A9">
        <v>108</v>
      </c>
      <c r="B9">
        <v>6</v>
      </c>
      <c r="C9" s="1">
        <v>45034</v>
      </c>
      <c r="D9">
        <v>6000</v>
      </c>
      <c r="E9" t="s">
        <v>26</v>
      </c>
      <c r="F9" t="str">
        <f t="shared" si="0"/>
        <v>Apr</v>
      </c>
    </row>
    <row r="10" spans="1:6" x14ac:dyDescent="0.3">
      <c r="A10">
        <v>109</v>
      </c>
      <c r="B10">
        <v>3</v>
      </c>
      <c r="C10" s="1">
        <v>45036</v>
      </c>
      <c r="D10">
        <v>1500</v>
      </c>
      <c r="E10" t="s">
        <v>27</v>
      </c>
      <c r="F10" t="str">
        <f t="shared" si="0"/>
        <v>Apr</v>
      </c>
    </row>
    <row r="11" spans="1:6" x14ac:dyDescent="0.3">
      <c r="A11">
        <v>110</v>
      </c>
      <c r="B11">
        <v>1</v>
      </c>
      <c r="C11" s="1">
        <v>45041</v>
      </c>
      <c r="D11">
        <v>2500</v>
      </c>
      <c r="E11" t="s">
        <v>26</v>
      </c>
      <c r="F11" t="str">
        <f t="shared" si="0"/>
        <v>Apr</v>
      </c>
    </row>
    <row r="15" spans="1:6" x14ac:dyDescent="0.3">
      <c r="B15" s="7" t="s">
        <v>33</v>
      </c>
      <c r="C15" s="8" t="s">
        <v>34</v>
      </c>
      <c r="D15" s="9" t="s">
        <v>35</v>
      </c>
      <c r="E15" s="9"/>
    </row>
    <row r="16" spans="1:6" x14ac:dyDescent="0.3">
      <c r="B16" s="8">
        <f>SUMIF(E2:E11,"Completed",D2:D11)</f>
        <v>31500</v>
      </c>
      <c r="C16" s="8">
        <f>COUNT(B2:B11)</f>
        <v>10</v>
      </c>
      <c r="D16" s="9">
        <f>COUNTIF(E2:E11,"Completed")</f>
        <v>7</v>
      </c>
      <c r="E16" s="9"/>
    </row>
  </sheetData>
  <mergeCells count="2">
    <mergeCell ref="D15:E15"/>
    <mergeCell ref="D16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A7C3-974C-4D44-ADF6-C61E543CC3CE}">
  <dimension ref="A1:E7"/>
  <sheetViews>
    <sheetView tabSelected="1" workbookViewId="0">
      <selection activeCell="D12" sqref="D12"/>
    </sheetView>
  </sheetViews>
  <sheetFormatPr defaultRowHeight="14.4" x14ac:dyDescent="0.3"/>
  <cols>
    <col min="1" max="1" width="11.109375" bestFit="1" customWidth="1"/>
    <col min="2" max="2" width="14.33203125" bestFit="1" customWidth="1"/>
    <col min="3" max="3" width="16.109375" bestFit="1" customWidth="1"/>
    <col min="4" max="4" width="9.21875" bestFit="1" customWidth="1"/>
    <col min="5" max="5" width="10.77734375" bestFit="1" customWidth="1"/>
  </cols>
  <sheetData>
    <row r="1" spans="1:5" x14ac:dyDescent="0.3">
      <c r="A1" s="3" t="s">
        <v>1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x14ac:dyDescent="0.3">
      <c r="A2">
        <v>1</v>
      </c>
      <c r="B2" t="s">
        <v>9</v>
      </c>
      <c r="C2" t="s">
        <v>10</v>
      </c>
      <c r="D2" t="s">
        <v>11</v>
      </c>
      <c r="E2" s="1">
        <v>44936</v>
      </c>
    </row>
    <row r="3" spans="1:5" x14ac:dyDescent="0.3">
      <c r="A3">
        <v>2</v>
      </c>
      <c r="B3" t="s">
        <v>12</v>
      </c>
      <c r="C3" t="s">
        <v>13</v>
      </c>
      <c r="D3" t="s">
        <v>14</v>
      </c>
      <c r="E3" s="1">
        <v>44972</v>
      </c>
    </row>
    <row r="4" spans="1:5" x14ac:dyDescent="0.3">
      <c r="A4">
        <v>3</v>
      </c>
      <c r="B4" t="s">
        <v>15</v>
      </c>
      <c r="C4" t="s">
        <v>16</v>
      </c>
      <c r="D4" t="s">
        <v>17</v>
      </c>
      <c r="E4" s="1">
        <v>45005</v>
      </c>
    </row>
    <row r="5" spans="1:5" x14ac:dyDescent="0.3">
      <c r="A5">
        <v>4</v>
      </c>
      <c r="B5" t="s">
        <v>18</v>
      </c>
      <c r="C5" t="s">
        <v>19</v>
      </c>
      <c r="D5" t="s">
        <v>11</v>
      </c>
      <c r="E5" s="1">
        <v>45017</v>
      </c>
    </row>
    <row r="6" spans="1:5" x14ac:dyDescent="0.3">
      <c r="A6">
        <v>5</v>
      </c>
      <c r="B6" t="s">
        <v>20</v>
      </c>
      <c r="C6" t="s">
        <v>21</v>
      </c>
      <c r="D6" t="s">
        <v>22</v>
      </c>
      <c r="E6" s="1">
        <v>45026</v>
      </c>
    </row>
    <row r="7" spans="1:5" x14ac:dyDescent="0.3">
      <c r="A7">
        <v>6</v>
      </c>
      <c r="B7" t="s">
        <v>23</v>
      </c>
      <c r="C7" t="s">
        <v>24</v>
      </c>
      <c r="D7" t="s">
        <v>25</v>
      </c>
      <c r="E7" s="1">
        <v>45051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Orders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</dc:creator>
  <cp:lastModifiedBy>Aniket Bisht</cp:lastModifiedBy>
  <dcterms:created xsi:type="dcterms:W3CDTF">2015-06-05T18:17:20Z</dcterms:created>
  <dcterms:modified xsi:type="dcterms:W3CDTF">2026-03-31T13:27:21Z</dcterms:modified>
</cp:coreProperties>
</file>